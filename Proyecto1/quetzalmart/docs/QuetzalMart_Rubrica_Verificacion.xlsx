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úbrica paso a paso" sheetId="1" state="visible" r:id="rId3"/>
    <sheet name="Cómo correr SQL" sheetId="2" state="visible" r:id="rId4"/>
  </sheets>
  <definedNames>
    <definedName function="false" hidden="true" localSheetId="0" name="_xlnm._FilterDatabase" vbProcedure="false">'Rúbrica paso a paso'!$A$5:$J$51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<sst xmlns="http://schemas.openxmlformats.org/spreadsheetml/2006/main" count="387" uniqueCount="289">
  <si>
    <t xml:space="preserve">QuetzalMart · Guía de verificación de la rúbrica (Odoo + SQL)</t>
  </si>
  <si>
    <t xml:space="preserve">Sitio: http://3.231.215.139   ·   SQL: ssh a la EC2 → cd ~/quetzalmart → docker compose exec db psql -U odoo -d quetzalmart   (ver hoja 'Cómo correr SQL')</t>
  </si>
  <si>
    <t xml:space="preserve">Rutas de menú verificadas contra la EC2 real (Odoo 18 Community en español) el 16/oct/2026. Editar solo las columnas 'Estado' (lista desplegable) y 'Verificado por / notas'.</t>
  </si>
  <si>
    <t xml:space="preserve">No.</t>
  </si>
  <si>
    <t xml:space="preserve">Criterio</t>
  </si>
  <si>
    <t xml:space="preserve">Pts</t>
  </si>
  <si>
    <t xml:space="preserve">Qué pide la rúbrica</t>
  </si>
  <si>
    <t xml:space="preserve">Responsable</t>
  </si>
  <si>
    <t xml:space="preserve">Dónde verlo en Odoo (paso a paso)</t>
  </si>
  <si>
    <t xml:space="preserve">Query SQL para verificar</t>
  </si>
  <si>
    <t xml:space="preserve">Resultado esperado</t>
  </si>
  <si>
    <t xml:space="preserve">Estado</t>
  </si>
  <si>
    <t xml:space="preserve">Verificado por / notas</t>
  </si>
  <si>
    <t xml:space="preserve">1. HABILIDADES (70 pts)</t>
  </si>
  <si>
    <t xml:space="preserve">1.01</t>
  </si>
  <si>
    <t xml:space="preserve">Ventas</t>
  </si>
  <si>
    <t xml:space="preserve">150 ventas de distintos productos y de diferentes clientes; validar en el sitio y por consulta.</t>
  </si>
  <si>
    <t xml:space="preserve">Integrante 4</t>
  </si>
  <si>
    <t xml:space="preserve">1. Menú principal (cuadrícula) → Ventas.
2. Órdenes → Órdenes.
3. Si hay un filtro en el buscador, quitarlo (x).
4. Ver el contador arriba a la derecha (ej. 1-80 / 150).
5. Opcional: abrir las opciones del buscador (▼) → Agrupar por → Cliente.</t>
  </si>
  <si>
    <t xml:space="preserve">SELECT count(*) AS ventas,
       count(DISTINCT partner_id) AS clientes_distintos,
       (SELECT count(DISTINCT sol.product_id) FROM sale_order_line sol
          JOIN sale_order s ON s.id = sol.order_id
         WHERE s.state = 'sale' AND sol.display_type IS NULL) AS productos_distintos
FROM sale_order WHERE state = 'sale';</t>
  </si>
  <si>
    <t xml:space="preserve">ventas ≥ 150, varios clientes y varios productos</t>
  </si>
  <si>
    <t xml:space="preserve">Pendiente</t>
  </si>
  <si>
    <t xml:space="preserve">1.02</t>
  </si>
  <si>
    <t xml:space="preserve">Cotizaciones</t>
  </si>
  <si>
    <t xml:space="preserve">Al menos 20 cotizaciones a clientes y proveedores; validar en el sitio y por consulta.</t>
  </si>
  <si>
    <t xml:space="preserve">Integrante 3 (12 a proveedores) + Integrante 4 (clientes)</t>
  </si>
  <si>
    <t xml:space="preserve">PROVEEDORES:
1. Compras → Órdenes → Solicitudes de cotización.
2. Clic en el recuadro morado '12 Por enviar' (deja solo las cotizaciones).
CLIENTES:
3. Ventas → Órdenes → Cotizaciones.
4. Quitar el filtro 'Mis cotizaciones' → (▼) Agrupar por → Estado → grupos 'Cotización' y 'Cotización enviada'.</t>
  </si>
  <si>
    <t xml:space="preserve">SELECT 'Cliente' AS tipo, so.name, p.name AS contacto, so.state, so.amount_total
FROM sale_order so JOIN res_partner p ON p.id = so.partner_id
WHERE so.state IN ('draft','sent')
UNION ALL
SELECT 'Proveedor', po.name, p.name, po.state, po.amount_total
FROM purchase_order po JOIN res_partner p ON p.id = po.partner_id
WHERE po.state IN ('draft','sent')
ORDER BY 1, 2;
-- Total:
SELECT (SELECT count(*) FROM sale_order WHERE state IN ('draft','sent'))
     + (SELECT count(*) FROM purchase_order WHERE state IN ('draft','sent')) AS total_cotizaciones;</t>
  </si>
  <si>
    <t xml:space="preserve">total_cotizaciones ≥ 20 (12 de proveedores ya están cargadas)</t>
  </si>
  <si>
    <t xml:space="preserve">Parcial (12/20)</t>
  </si>
  <si>
    <t xml:space="preserve">1.03</t>
  </si>
  <si>
    <t xml:space="preserve">Empleados</t>
  </si>
  <si>
    <t xml:space="preserve">Al menos 35 empleados; validar en el sitio y por consulta.</t>
  </si>
  <si>
    <t xml:space="preserve">Integrante 3</t>
  </si>
  <si>
    <t xml:space="preserve">1. Menú principal → Empleados (se abre en Empleados → Empleados).
2. Cambiar a vista Lista (ícono de lista, arriba a la derecha).
3. Ver el contador (37).
4. Opcional: (▼) Agrupar por → Departamento o Puesto de trabajo. Para sucursal: Agregar grupo personalizado → Ubicación de trabajo.
5. Organigrama: Empleados → Empleados → Organigrama.</t>
  </si>
  <si>
    <t xml:space="preserve">SELECT e.name AS empleado,
       COALESCE(j.name-&gt;&gt;'es_419', j.name-&gt;&gt;'en_US') AS cargo,
       COALESCE(d.name-&gt;&gt;'es_419', d.name-&gt;&gt;'en_US') AS departamento,
       wl.name AS sucursal
FROM hr_employee e
LEFT JOIN hr_job j ON j.id = e.job_id
LEFT JOIN hr_department d ON d.id = e.department_id
LEFT JOIN hr_work_location wl ON wl.id = e.work_location_id
WHERE e.active ORDER BY departamento, empleado;
-- Total:
SELECT count(*) AS total_empleados FROM hr_employee WHERE active;</t>
  </si>
  <si>
    <t xml:space="preserve">total_empleados = 37 (≥ 35)</t>
  </si>
  <si>
    <t xml:space="preserve">Listo</t>
  </si>
  <si>
    <t xml:space="preserve">1.04</t>
  </si>
  <si>
    <t xml:space="preserve">Cargos</t>
  </si>
  <si>
    <t xml:space="preserve">Al menos 6 cargos; validar en el sitio y por consulta.</t>
  </si>
  <si>
    <t xml:space="preserve">1. Empleados → Configuración → Reclutamiento → Puestos de trabajo (8 cargos).
Alternativa: Empleados → vista Lista → (▼) Agrupar por → Puesto de trabajo (empleados por cargo).</t>
  </si>
  <si>
    <t xml:space="preserve">SELECT COALESCE(j.name-&gt;&gt;'es_419', j.name-&gt;&gt;'en_US') AS cargo,
       COALESCE(d.name-&gt;&gt;'es_419', d.name-&gt;&gt;'en_US') AS departamento,
       (SELECT count(*) FROM hr_employee e WHERE e.job_id = j.id AND e.active) AS empleados
FROM hr_job j LEFT JOIN hr_department d ON d.id = j.department_id
ORDER BY cargo;</t>
  </si>
  <si>
    <t xml:space="preserve">8 filas (≥ 6)</t>
  </si>
  <si>
    <t xml:space="preserve">1.05</t>
  </si>
  <si>
    <t xml:space="preserve">Departamentos</t>
  </si>
  <si>
    <t xml:space="preserve">Al menos 5 departamentos; validar en el sitio y por consulta.</t>
  </si>
  <si>
    <t xml:space="preserve">1. Empleados → Departamentos (menú superior): 5 tarjetas con su número de empleados.
Alternativa: Empleados → vista Lista → (▼) Agrupar por → Departamento.</t>
  </si>
  <si>
    <t xml:space="preserve">SELECT COALESCE(d.name-&gt;&gt;'es_419', d.name-&gt;&gt;'en_US') AS departamento,
       m.name AS jefe,
       (SELECT count(*) FROM hr_employee e WHERE e.department_id = d.id AND e.active) AS empleados
FROM hr_department d LEFT JOIN hr_employee m ON m.id = d.manager_id
WHERE d.active ORDER BY departamento;</t>
  </si>
  <si>
    <t xml:space="preserve">5 filas (≥ 5)</t>
  </si>
  <si>
    <t xml:space="preserve">1.06</t>
  </si>
  <si>
    <t xml:space="preserve">Compras</t>
  </si>
  <si>
    <t xml:space="preserve">Al menos 100 compras y sus facturas correspondientes; validar en el sitio y por consulta.</t>
  </si>
  <si>
    <t xml:space="preserve">1. Compras → Órdenes → Órdenes de compra (contador 1-80 / 105).
2. Columna 'Estado de facturación' = Totalmente facturado.
3. Abrir cualquier orden (ej. P00105) → botón inteligente 'Facturas de proveedores' (arriba a la derecha) → abre su factura.
4. El botón 'Recepción' muestra la entrada al almacén de la sucursal.</t>
  </si>
  <si>
    <t xml:space="preserve">SELECT po.name AS orden_compra, p.name AS proveedor, po.amount_total,
       po.invoice_status, string_agg(DISTINCT am.name, ', ') AS factura
FROM purchase_order po
JOIN res_partner p ON p.id = po.partner_id
LEFT JOIN purchase_order_line pol ON pol.order_id = po.id
LEFT JOIN account_move_line aml ON aml.purchase_line_id = pol.id
LEFT JOIN account_move am ON am.id = aml.move_id AND am.state = 'posted'
WHERE po.state IN ('purchase','done')
GROUP BY po.id, p.name ORDER BY po.date_order;
-- Total:
SELECT count(*) AS compras, count(*) FILTER (WHERE invoice_status = 'invoiced') AS facturadas
FROM purchase_order WHERE state IN ('purchase','done');</t>
  </si>
  <si>
    <t xml:space="preserve">compras = 105, facturadas = 105 (≥ 100)</t>
  </si>
  <si>
    <t xml:space="preserve">1.07</t>
  </si>
  <si>
    <t xml:space="preserve">Materiales</t>
  </si>
  <si>
    <t xml:space="preserve">Al menos 60 materiales para que cada sucursal funcione; validar en el sitio y por consulta.</t>
  </si>
  <si>
    <t xml:space="preserve">1. Compras → Productos → Productos.
2. En el buscador escribir 'MAT-' → Enter (64 materiales).
3. Vista Lista → (▼) Agrupar por → Categoría del producto (8 categorías de 'Materiales de Sucursal').
4. Existencias por sucursal: Inventario → Reportes → Existencias → (▼) Agrupar por → Ubicación (GT / MX / SV).</t>
  </si>
  <si>
    <t xml:space="preserve">SELECT pt.default_code AS codigo,
       COALESCE(pt.name-&gt;&gt;'es_419', pt.name-&gt;&gt;'en_US') AS material,
       pc.complete_name AS categoria
FROM product_template pt JOIN product_category pc ON pc.id = pt.categ_id
WHERE pc.complete_name LIKE 'Materiales de Sucursal%' AND pt.active
ORDER BY pt.default_code;
-- Total:
SELECT count(*) AS total_materiales FROM product_template pt
JOIN product_category pc ON pc.id = pt.categ_id
WHERE pc.complete_name LIKE 'Materiales de Sucursal%' AND pt.active;</t>
  </si>
  <si>
    <t xml:space="preserve">total_materiales = 64 (≥ 60)</t>
  </si>
  <si>
    <t xml:space="preserve">1.08</t>
  </si>
  <si>
    <t xml:space="preserve">Facturas</t>
  </si>
  <si>
    <t xml:space="preserve">Al menos 50 facturas generadas por compras o ventas; se pueden visualizar (carpeta con PDFs).</t>
  </si>
  <si>
    <t xml:space="preserve">Integrante 3 (+ ventas del Integrante 4)</t>
  </si>
  <si>
    <t xml:space="preserve">1. Facturación → Proveedores → Facturas de proveedor (105).
2. Abrir una → botón 'Imprimir' (genera el PDF).
3. Facturas de ventas (Integrante 4): Facturación → Clientes → Facturas.
4. Carpeta física de PDFs: en la EC2 ~/quetzalmart/facturas_pdf/compras (105 PDF), o bajarla a la PC con scp.
NOTA: en Odoo Community la app se llama 'Facturación', no 'Contabilidad'.</t>
  </si>
  <si>
    <t xml:space="preserve">SELECT am.name AS factura,
       CASE am.move_type WHEN 'in_invoice' THEN 'Compra' ELSE 'Venta' END AS tipo,
       am.invoice_date, p.name AS contacto, am.amount_total, am.payment_state
FROM account_move am JOIN res_partner p ON p.id = am.partner_id
WHERE am.move_type IN ('in_invoice','out_invoice') AND am.state = 'posted'
ORDER BY am.invoice_date;
-- Total:
SELECT move_type, count(*) FROM account_move
WHERE move_type IN ('in_invoice','out_invoice') AND state = 'posted' GROUP BY move_type;</t>
  </si>
  <si>
    <t xml:space="preserve">in_invoice = 105 (≥ 50 en total)</t>
  </si>
  <si>
    <t xml:space="preserve">1.09</t>
  </si>
  <si>
    <t xml:space="preserve">Factura en la calificación</t>
  </si>
  <si>
    <t xml:space="preserve">Generar facturas durante la calificación y que se puedan visualizar.</t>
  </si>
  <si>
    <t xml:space="preserve">1. Compras → Órdenes → Órdenes de compra → Nuevo.
2. Proveedor: Ferretería El Volcán, S.A. → Agregar un producto: MAT-MAN-01 (Foco LED 18 W), cantidad 20.
3. 'Confirmar orden'.
4. Botón inteligente 'Recepción' → 'Validar'.
5. Volver a la orden (migas de pan arriba) → 'Crear factura' → poner 'Fecha de la factura' → 'Confirmar'.
6. 'Imprimir' → se descarga el PDF.
7. Agregarla a la carpeta de PDFs (en la EC2):
   docker compose --profile seed run --rm --entrypoint python3 seed -u /seed/export_invoices.py</t>
  </si>
  <si>
    <t xml:space="preserve">SELECT am.name, am.move_type, p.name AS contacto, am.amount_total, am.state, am.create_date
FROM account_move am JOIN res_partner p ON p.id = am.partner_id
WHERE am.move_type IN ('in_invoice','out_invoice')
ORDER BY am.create_date DESC LIMIT 5;</t>
  </si>
  <si>
    <t xml:space="preserve">La factura recién creada aparece de primera</t>
  </si>
  <si>
    <t xml:space="preserve">1.10</t>
  </si>
  <si>
    <t xml:space="preserve">ERP Sitio Web</t>
  </si>
  <si>
    <t xml:space="preserve">ERP en la nube, se puede acceder y hacer login al sitio web; el sitio tiene buena presentación.</t>
  </si>
  <si>
    <t xml:space="preserve">Integrante 4 (infra: Integrante 3)</t>
  </si>
  <si>
    <t xml:space="preserve">1. Abrir http://3.231.215.139 (sitio público).
2. Arriba a la derecha → Iniciar sesión (o http://3.231.215.139/web/login).
3. Entrar con admin y la contraseña del equipo.
4. Mostrar la página de inicio y la Tienda (/shop).</t>
  </si>
  <si>
    <t xml:space="preserve">SELECT id, name, domain FROM website;
SELECT login, active FROM res_users WHERE share = false ORDER BY login;  -- usuarios internos</t>
  </si>
  <si>
    <t xml:space="preserve">1 sitio web; usuarios del equipo</t>
  </si>
  <si>
    <t xml:space="preserve">Parcial (falta diseño)</t>
  </si>
  <si>
    <t xml:space="preserve">1.11</t>
  </si>
  <si>
    <t xml:space="preserve">ERP Productos</t>
  </si>
  <si>
    <t xml:space="preserve">Se visualizan los productos con imágenes, descripciones y precios.</t>
  </si>
  <si>
    <t xml:space="preserve">Integrante 4 / Integrante 5 (RPA)</t>
  </si>
  <si>
    <t xml:space="preserve">1. Sitio público → Tienda (http://3.231.215.139/shop): productos con imagen y precio; abrir uno para ver la descripción.
Backend: Sitio web → Comercio electrónico → Productos → Productos.</t>
  </si>
  <si>
    <t xml:space="preserve">SELECT COALESCE(pt.name-&gt;&gt;'es_419', pt.name-&gt;&gt;'en_US') AS producto,
       pt.list_price AS precio,
       COALESCE(pt.description_sale-&gt;&gt;'es_419', pt.description_sale-&gt;&gt;'en_US') AS descripcion,
       EXISTS (SELECT 1 FROM ir_attachment a WHERE a.res_model = 'product.template'
                AND a.res_id = pt.id AND a.res_field = 'image_1920') AS tiene_imagen
FROM product_template pt
WHERE pt.is_published AND pt.sale_ok AND pt.active ORDER BY producto;</t>
  </si>
  <si>
    <t xml:space="preserve">Productos publicados con precio, descripción y tiene_imagen = true</t>
  </si>
  <si>
    <t xml:space="preserve">1.12</t>
  </si>
  <si>
    <t xml:space="preserve">ERP Carrito de compras</t>
  </si>
  <si>
    <t xml:space="preserve">Agregar y eliminar productos del carrito, calcular impuestos y costos de envío.</t>
  </si>
  <si>
    <t xml:space="preserve">1. En /shop agregar 2 productos al carrito.
2. Abrir el carrito → cambiar cantidad / quitar uno (papelera).
3. Ver Subtotal + Impuestos (IVA 12%).
4. Continuar → elegir método de entrega → ver el costo de envío en el total.
Configuración: Sitio web → Configuración → Comercio electrónico → Métodos de entrega.</t>
  </si>
  <si>
    <t xml:space="preserve">SELECT COALESCE(name-&gt;&gt;'es_419', name-&gt;&gt;'en_US') AS metodo_envio,
       delivery_type, fixed_price, is_published
FROM delivery_carrier WHERE active;
SELECT COALESCE(name-&gt;&gt;'es_419', name-&gt;&gt;'en_US') AS impuesto, amount, type_tax_use
FROM account_tax WHERE active AND type_tax_use = 'sale';</t>
  </si>
  <si>
    <t xml:space="preserve">Al menos 1 método de envío publicado; impuesto 12% de venta</t>
  </si>
  <si>
    <t xml:space="preserve">1.13</t>
  </si>
  <si>
    <t xml:space="preserve">ERP Proceso de pago</t>
  </si>
  <si>
    <t xml:space="preserve">Cuenta con integración de pago.</t>
  </si>
  <si>
    <t xml:space="preserve">1. Hacer una compra en /shop hasta el pago.
2. Elegir la pasarela (Stripe/PayPal en modo prueba) → completar el pago → ver la confirmación.
Configuración: Sitio web → Configuración → Comercio electrónico → Proveedores de pago.
Órdenes pagadas: Sitio web → Comercio electrónico → Órdenes → Órdenes.</t>
  </si>
  <si>
    <t xml:space="preserve">SELECT COALESCE(name-&gt;&gt;'es_419', name-&gt;&gt;'en_US') AS proveedor_pago, code, state, is_published
FROM payment_provider WHERE state &lt;&gt; 'disabled';
SELECT reference, provider_reference, amount, state, create_date
FROM payment_transaction ORDER BY create_date DESC LIMIT 10;</t>
  </si>
  <si>
    <t xml:space="preserve">1 proveedor en 'enabled' o 'test'; transacciones en 'done'</t>
  </si>
  <si>
    <t xml:space="preserve">1.14</t>
  </si>
  <si>
    <t xml:space="preserve">Google Analytics</t>
  </si>
  <si>
    <t xml:space="preserve">Integró Google Analytics al ERP para medir métricas.</t>
  </si>
  <si>
    <t xml:space="preserve">Integrante 2</t>
  </si>
  <si>
    <t xml:space="preserve">1. Odoo: Sitio web → Configuración → Ajustes → buscar 'Google Analytics' → ver el ID G-XXXX.
2. Google Analytics 4 (analytics.google.com) → Informes → Tiempo real: navegar el sitio y ver el usuario activo.</t>
  </si>
  <si>
    <t xml:space="preserve">SELECT name, google_analytics_key FROM website;</t>
  </si>
  <si>
    <t xml:space="preserve">google_analytics_key = G-XXXXXXX</t>
  </si>
  <si>
    <t xml:space="preserve">1.15</t>
  </si>
  <si>
    <t xml:space="preserve">Evento view_item</t>
  </si>
  <si>
    <t xml:space="preserve">Registra productos para el evento view_item.</t>
  </si>
  <si>
    <t xml:space="preserve">1. Abrir un producto en /shop.
2. Google Analytics 4 (analytics.google.com) → propiedad de QuetzalMart → Administrar → DebugView (o Informes → Tiempo real → Eventos) → evento view_item con items.</t>
  </si>
  <si>
    <t xml:space="preserve">No aplica (se verifica fuera de la base de datos)</t>
  </si>
  <si>
    <t xml:space="preserve">Evento visible en GA4</t>
  </si>
  <si>
    <t xml:space="preserve">1.16</t>
  </si>
  <si>
    <t xml:space="preserve">Evento add_to_cart</t>
  </si>
  <si>
    <t xml:space="preserve">Registra productos para el evento add_to_cart.</t>
  </si>
  <si>
    <t xml:space="preserve">1. Agregar un producto al carrito.
2. GA4 → DebugView / Tiempo real → evento add_to_cart con items.</t>
  </si>
  <si>
    <t xml:space="preserve">1.17</t>
  </si>
  <si>
    <t xml:space="preserve">Evento begin_checkout</t>
  </si>
  <si>
    <t xml:space="preserve">Registra productos para el evento begin_checkout.</t>
  </si>
  <si>
    <t xml:space="preserve">1. En el carrito → Proceder al pago.
2. GA4 → DebugView / Tiempo real → evento begin_checkout.
NOTA: Odoo NO lo envía por defecto; el Integrante 2 debe agregarlo.</t>
  </si>
  <si>
    <t xml:space="preserve">1.18</t>
  </si>
  <si>
    <t xml:space="preserve">Evento purchase</t>
  </si>
  <si>
    <t xml:space="preserve">Registra el evento purchase.</t>
  </si>
  <si>
    <t xml:space="preserve">1. Completar una compra con pago.
2. GA4 → DebugView / Tiempo real → evento purchase con value y currency GTQ.</t>
  </si>
  <si>
    <t xml:space="preserve">1.19</t>
  </si>
  <si>
    <t xml:space="preserve">Tasa de conversión</t>
  </si>
  <si>
    <t xml:space="preserve">Se visualiza la tasa de conversión.</t>
  </si>
  <si>
    <t xml:space="preserve">GA4 → Informes → Monetización → Compras de comercio electrónico / Informe de conversión (o una exploración de embudo).</t>
  </si>
  <si>
    <t xml:space="preserve">Métrica visible en GA4</t>
  </si>
  <si>
    <t xml:space="preserve">1.20</t>
  </si>
  <si>
    <t xml:space="preserve">Adquisición de usuarios</t>
  </si>
  <si>
    <t xml:space="preserve">Se visualiza la adquisición de usuarios.</t>
  </si>
  <si>
    <t xml:space="preserve">GA4 → Informes → Ciclo de vida → Adquisición → Adquisición de usuarios.</t>
  </si>
  <si>
    <t xml:space="preserve">Informe visible en GA4</t>
  </si>
  <si>
    <t xml:space="preserve">1.21</t>
  </si>
  <si>
    <t xml:space="preserve">Total de ingresos</t>
  </si>
  <si>
    <t xml:space="preserve">Se visualiza el total de ingresos.</t>
  </si>
  <si>
    <t xml:space="preserve">GA4 → Informes → Monetización → Descripción general (Ingresos totales).
Referencia en Odoo: Ventas → Reportes → Ventas (o Sitio web → Reportes → Ventas en línea).</t>
  </si>
  <si>
    <t xml:space="preserve">SELECT round(sum(amount_total), 2) AS ingresos_totales_gtq
FROM sale_order WHERE state = 'sale';</t>
  </si>
  <si>
    <t xml:space="preserve">Ingresos en GA4 (y referencia en Odoo)</t>
  </si>
  <si>
    <t xml:space="preserve">1.22</t>
  </si>
  <si>
    <t xml:space="preserve">Productos más vendidos</t>
  </si>
  <si>
    <t xml:space="preserve">Se visualizan los productos más vendidos.</t>
  </si>
  <si>
    <t xml:space="preserve">GA4 → Informes → Monetización → Compras de comercio electrónico (ordenar por artículos comprados).
Referencia en Odoo: Ventas → Reportes → Productos.</t>
  </si>
  <si>
    <t xml:space="preserve">SELECT COALESCE(pt.name-&gt;&gt;'es_419', pt.name-&gt;&gt;'en_US') AS producto,
       sum(sol.product_uom_qty) AS unidades, round(sum(sol.price_subtotal), 2) AS ventas_gtq
FROM sale_order_line sol
JOIN sale_order so ON so.id = sol.order_id AND so.state = 'sale'
JOIN product_product pp ON pp.id = sol.product_id
JOIN product_template pt ON pt.id = pp.product_tmpl_id
GROUP BY 1 ORDER BY unidades DESC LIMIT 10;</t>
  </si>
  <si>
    <t xml:space="preserve">Top productos en GA4 (y referencia en Odoo)</t>
  </si>
  <si>
    <t xml:space="preserve">1.23</t>
  </si>
  <si>
    <t xml:space="preserve">Abandono del carrito</t>
  </si>
  <si>
    <t xml:space="preserve">Se visualizan los abandonos del carrito.</t>
  </si>
  <si>
    <t xml:space="preserve">GA4 → Explorar → Exploración de embudo (view_item → add_to_cart → begin_checkout → purchase).
Referencia en Odoo: Sitio web → Comercio electrónico → Órdenes → Carritos abandonados.</t>
  </si>
  <si>
    <t xml:space="preserve">SELECT so.name, p.name AS cliente, so.amount_total, so.write_date
FROM sale_order so JOIN res_partner p ON p.id = so.partner_id
WHERE so.website_id IS NOT NULL AND so.state = 'draft'
ORDER BY so.write_date DESC;  -- carritos del sitio sin pagar</t>
  </si>
  <si>
    <t xml:space="preserve">Embudo en GA4 (y carritos abiertos en Odoo)</t>
  </si>
  <si>
    <t xml:space="preserve">1.24</t>
  </si>
  <si>
    <t xml:space="preserve">Segmentos</t>
  </si>
  <si>
    <t xml:space="preserve">3 segmentos de usuario y 5 segmentos de eventos.</t>
  </si>
  <si>
    <t xml:space="preserve">GA4 → Explorar → abrir una exploración → panel Variables → Segmentos (3 de usuario + 5 de eventos).</t>
  </si>
  <si>
    <t xml:space="preserve">8 segmentos en GA4</t>
  </si>
  <si>
    <t xml:space="preserve">1.25</t>
  </si>
  <si>
    <t xml:space="preserve">Exploraciones</t>
  </si>
  <si>
    <t xml:space="preserve">2 informes de exploración.</t>
  </si>
  <si>
    <t xml:space="preserve">GA4 → Explorar → lista de exploraciones guardadas (2).</t>
  </si>
  <si>
    <t xml:space="preserve">2 exploraciones</t>
  </si>
  <si>
    <t xml:space="preserve">1.26</t>
  </si>
  <si>
    <t xml:space="preserve">Audiencias</t>
  </si>
  <si>
    <t xml:space="preserve">3 audiencias (al menos 1 personalizada); una debe ser de abandono del carrito.</t>
  </si>
  <si>
    <t xml:space="preserve">GA4 → Administrar → Datos → Audiencias (3, incluida 'Abandono de carrito').</t>
  </si>
  <si>
    <t xml:space="preserve">3 audiencias</t>
  </si>
  <si>
    <t xml:space="preserve">1.27</t>
  </si>
  <si>
    <t xml:space="preserve">Gestor documental</t>
  </si>
  <si>
    <t xml:space="preserve">Se integra un gestor documental al ERP.</t>
  </si>
  <si>
    <t xml:space="preserve">Integrante 1</t>
  </si>
  <si>
    <t xml:space="preserve">1. Menú principal → Documentos (módulo OCA dms).
2. Documentos → Carpetas: mostrar la carpeta raíz y subcarpetas.
3. Documentos → Archivos: lista de todos los documentos.</t>
  </si>
  <si>
    <t xml:space="preserve">SELECT name FROM ir_module_module WHERE name = 'dms' AND state = 'installed';
SELECT d.name AS carpeta, (SELECT count(*) FROM dms_file f WHERE f.directory_id = d.id AND f.active) AS archivos
FROM dms_directory d ORDER BY d.name;</t>
  </si>
  <si>
    <t xml:space="preserve">dms instalado; carpetas creadas</t>
  </si>
  <si>
    <t xml:space="preserve">1.28</t>
  </si>
  <si>
    <t xml:space="preserve">Gestor documental: carga de documentos</t>
  </si>
  <si>
    <t xml:space="preserve">Al menos 5 facturas de proveedores, 5 contratos de outsourcing y 5 contratos de empleados.</t>
  </si>
  <si>
    <t xml:space="preserve">1. Documentos → Carpetas → entrar a: Facturas de Proveedores, Contratos de Outsourcing, Contratos de Empleados.
2. Ver ≥ 5 archivos en cada una; abrir uno para previsualizarlo.</t>
  </si>
  <si>
    <t xml:space="preserve">SELECT d.name AS carpeta, count(f.id) AS archivos
FROM dms_directory d LEFT JOIN dms_file f ON f.directory_id = d.id AND f.active
GROUP BY d.name ORDER BY d.name;</t>
  </si>
  <si>
    <t xml:space="preserve">≥ 5 archivos en cada una de las 3 carpetas</t>
  </si>
  <si>
    <t xml:space="preserve">1.29</t>
  </si>
  <si>
    <t xml:space="preserve">Gestor documental: etiquetado</t>
  </si>
  <si>
    <t xml:space="preserve">Organizar los documentos mediante etiquetas y filtrar por etiquetas.</t>
  </si>
  <si>
    <t xml:space="preserve">1. Documentos → Archivos.
2. Filtrar por etiqueta (panel izquierdo o escribir la etiqueta en el buscador).
3. Etiquetas creadas: Documentos → Configuración → Organizar → Etiquetas.</t>
  </si>
  <si>
    <t xml:space="preserve">SELECT COALESCE(t.name-&gt;&gt;'es_419', t.name-&gt;&gt;'en_US') AS etiqueta, count(*) AS archivos
FROM dms_tag t
JOIN dms_file_tag_rel r ON r.tid = t.id
JOIN dms_file f ON f.id = r.fid AND f.active
GROUP BY 1 ORDER BY 1;</t>
  </si>
  <si>
    <t xml:space="preserve">Varias etiquetas con archivos</t>
  </si>
  <si>
    <t xml:space="preserve">1.30</t>
  </si>
  <si>
    <t xml:space="preserve">RPA Clientes</t>
  </si>
  <si>
    <t xml:space="preserve">El robot puede cargar los clientes al ERP durante la calificación.</t>
  </si>
  <si>
    <t xml:space="preserve">Integrante 5</t>
  </si>
  <si>
    <t xml:space="preserve">1. Ejecutar el robot UiPath.
2. Odoo: Contactos → Contactos (vista Lista, ordenar por fecha de creación) → aparecen los clientes nuevos.
   También: Ventas → Órdenes → Clientes.</t>
  </si>
  <si>
    <t xml:space="preserve">SELECT p.name, CASE WHEN p.is_company THEN 'Company' ELSE 'Individual' END AS company_type,
       p.email, p.phone, p.city, p.vat, p.ref, p.create_date
FROM res_partner p
WHERE p.active AND p.supplier_rank = 0
  AND p.id NOT IN (SELECT partner_id FROM res_users)
  AND p.id NOT IN (SELECT partner_id FROM res_company)
  AND p.id NOT IN (SELECT work_contact_id FROM hr_employee WHERE work_contact_id IS NOT NULL)
  AND COALESCE(p.parent_id, 0) NOT IN (SELECT partner_id FROM res_company)
ORDER BY p.create_date DESC;</t>
  </si>
  <si>
    <t xml:space="preserve">Clientes recién creados (create_date de hoy)</t>
  </si>
  <si>
    <t xml:space="preserve">1.31</t>
  </si>
  <si>
    <t xml:space="preserve">RPA Productos</t>
  </si>
  <si>
    <t xml:space="preserve">El robot puede cargar los productos al ERP durante la calificación.</t>
  </si>
  <si>
    <t xml:space="preserve">1. Ejecutar el robot UiPath.
2. Odoo: Ventas → Productos → Productos (vista Lista) y en el sitio /shop si están publicados.</t>
  </si>
  <si>
    <t xml:space="preserve">SELECT imd.module || '.' || imd.name AS id_externo,
       COALESCE(pt.name-&gt;&gt;'es_419', pt.name-&gt;&gt;'en_US') AS name,
       pt.default_code, pt.list_price, pt.is_published, pt.create_date
FROM product_template pt
LEFT JOIN ir_model_data imd ON imd.model = 'product.template' AND imd.res_id = pt.id
WHERE pt.sale_ok AND pt.active
ORDER BY pt.create_date DESC;</t>
  </si>
  <si>
    <t xml:space="preserve">Productos recién creados (create_date de hoy)</t>
  </si>
  <si>
    <t xml:space="preserve">1.32</t>
  </si>
  <si>
    <t xml:space="preserve">Marketing: correo de compra</t>
  </si>
  <si>
    <t xml:space="preserve">Se recibe el correo de compra durante la calificación, desde un correo del sitio, con el recibo/factura adjunta.</t>
  </si>
  <si>
    <t xml:space="preserve">1. Hacer la compra en el sitio con el correo del auxiliar.
2. Revisar su bandeja: correo de QuetzalMart con el PDF adjunto.
3. En Odoo: abrir la orden (Sitio web → Comercio electrónico → Órdenes → Órdenes) → el chatter (abajo/derecha) muestra el correo enviado.
4. Cola de correos (modo desarrollador): Ajustes → Técnico → Correo electrónico → Correos electrónicos.</t>
  </si>
  <si>
    <t xml:space="preserve">SELECT m.date, m.subject, m.model, m.res_id,
       (SELECT count(*) FROM message_attachment_rel r WHERE r.message_id = m.id) AS adjuntos
FROM mail_message m
WHERE m.model IN ('sale.order','account.move') AND m.subject IS NOT NULL
ORDER BY m.date DESC LIMIT 10;</t>
  </si>
  <si>
    <t xml:space="preserve">Mensaje con adjuntos ≥ 1</t>
  </si>
  <si>
    <t xml:space="preserve">1.33</t>
  </si>
  <si>
    <t xml:space="preserve">Marketing: correo de publicidad</t>
  </si>
  <si>
    <t xml:space="preserve">Se recibe el correo de la campaña de marketing durante la calificación, desde un correo del sitio; la campaña es original y vistosa.</t>
  </si>
  <si>
    <t xml:space="preserve">1. Después del correo de compra, revisar la bandeja: segundo correo con asunto distinto (campaña).
2. En Odoo: Marketing por correo → Correos → abrir la campaña → ver diseño y estadísticas.
3. Reporte: Marketing por correo → Reportes → Análisis de correos masivos.</t>
  </si>
  <si>
    <t xml:space="preserve">SELECT mm.subject, mm.state, mm.sent_date,
       (SELECT count(*) FROM mailing_trace t WHERE t.mass_mailing_id = mm.id) AS envios
FROM mailing_mailing mm ORDER BY mm.create_date DESC;</t>
  </si>
  <si>
    <t xml:space="preserve">Campaña con asunto distinto y envios ≥ 1</t>
  </si>
  <si>
    <t xml:space="preserve">2. CONOCIMIENTOS (30 pts)</t>
  </si>
  <si>
    <t xml:space="preserve">2.01</t>
  </si>
  <si>
    <t xml:space="preserve">Manual 1</t>
  </si>
  <si>
    <t xml:space="preserve">Manual presentable y con todas las secciones solicitadas.</t>
  </si>
  <si>
    <t xml:space="preserve">Integrante 5 (apoyan 1 y 3)</t>
  </si>
  <si>
    <t xml:space="preserve">Documento entregado (PDF/Word). Revisar portada, índice y secciones 1-4.</t>
  </si>
  <si>
    <t xml:space="preserve">No aplica (documento)</t>
  </si>
  <si>
    <t xml:space="preserve">Manual completo</t>
  </si>
  <si>
    <t xml:space="preserve">2.02</t>
  </si>
  <si>
    <t xml:space="preserve">Manual 1 - sección 1</t>
  </si>
  <si>
    <t xml:space="preserve">Instalación del sistema con el que se presentará el proyecto detallada.</t>
  </si>
  <si>
    <t xml:space="preserve">Usar docs/EC2_DESPLIEGUE.md (EC2, Docker, puertos, seed).</t>
  </si>
  <si>
    <t xml:space="preserve">Sección de instalación</t>
  </si>
  <si>
    <t xml:space="preserve">2.03</t>
  </si>
  <si>
    <t xml:space="preserve">Manual 1 - sección 2</t>
  </si>
  <si>
    <t xml:space="preserve">Funcionamiento de cada módulo detallado.</t>
  </si>
  <si>
    <t xml:space="preserve">Explicar Empleados, Compras, Inventario, Facturación, Ventas, CRM, Sitio web, Marketing y Documentos (ver docs/INTEGRANTE3_ERP.md).</t>
  </si>
  <si>
    <t xml:space="preserve">Sección por módulo</t>
  </si>
  <si>
    <t xml:space="preserve">2.04</t>
  </si>
  <si>
    <t xml:space="preserve">Manual 1 - sección 3</t>
  </si>
  <si>
    <t xml:space="preserve">Pasos y capturas de la carga masiva de cada módulo, órdenes de compra, ventas, CRM, empleados y facturas.</t>
  </si>
  <si>
    <t xml:space="preserve">Integrante 5 (capturas de compras/empleados/facturas: Integrante 3)</t>
  </si>
  <si>
    <t xml:space="preserve">Importar los archivos demo_*.xlsx de carga_masiva/ (Favoritos → Importar registros) y capturar cada paso.</t>
  </si>
  <si>
    <t xml:space="preserve">Capturas paso a paso</t>
  </si>
  <si>
    <t xml:space="preserve">2.05</t>
  </si>
  <si>
    <t xml:space="preserve">Manual 1 - sección 4</t>
  </si>
  <si>
    <t xml:space="preserve">Capturas y paso a paso del RPA; ventajas de implementarlo.</t>
  </si>
  <si>
    <t xml:space="preserve">Capturas del flujo en UiPath Studio y su ejecución.</t>
  </si>
  <si>
    <t xml:space="preserve">Sección RPA</t>
  </si>
  <si>
    <t xml:space="preserve">2.06</t>
  </si>
  <si>
    <t xml:space="preserve">Manual 2</t>
  </si>
  <si>
    <t xml:space="preserve">Manual presentable con todas las secciones solicitadas.</t>
  </si>
  <si>
    <t xml:space="preserve">Documento con todos los diagramas.</t>
  </si>
  <si>
    <t xml:space="preserve">2.07</t>
  </si>
  <si>
    <t xml:space="preserve">Manual 2 - diagrama de flujo</t>
  </si>
  <si>
    <t xml:space="preserve">Diagrama de flujo de visualización para lo realizado con UiPath.</t>
  </si>
  <si>
    <t xml:space="preserve">Diagrama del robot (leer carpeta → filtrar hojas clientes/productos → cargar a Odoo).</t>
  </si>
  <si>
    <t xml:space="preserve">Diagrama</t>
  </si>
  <si>
    <t xml:space="preserve">2.08</t>
  </si>
  <si>
    <t xml:space="preserve">Manual 2 - compras a proveedores</t>
  </si>
  <si>
    <t xml:space="preserve">Diagrama de flujo de compras a proveedores (detallado).</t>
  </si>
  <si>
    <t xml:space="preserve">Integrante 5 (insumo: Integrante 3)</t>
  </si>
  <si>
    <t xml:space="preserve">Flujo: solicitud de cotización → orden de compra → recepción en almacén → factura de proveedor → pago → archivo en gestor documental.</t>
  </si>
  <si>
    <t xml:space="preserve">2.09</t>
  </si>
  <si>
    <t xml:space="preserve">Manual 2 - flujo de productos</t>
  </si>
  <si>
    <t xml:space="preserve">Diagrama desde la recepción hasta que se realiza una compra (como pide el enunciado).</t>
  </si>
  <si>
    <t xml:space="preserve">Recepción → control de calidad / defectuosos → almacenamiento por sector → control de inventario → empaque → venta.</t>
  </si>
  <si>
    <t xml:space="preserve">2.10</t>
  </si>
  <si>
    <t xml:space="preserve">Manual 3</t>
  </si>
  <si>
    <t xml:space="preserve">Documento de inteligencia de negocios.</t>
  </si>
  <si>
    <t xml:space="preserve">2.11</t>
  </si>
  <si>
    <t xml:space="preserve">Manual 3 - inteligencia de negocios</t>
  </si>
  <si>
    <t xml:space="preserve">Inteligencia de negocios con los datos de Google Analytics, con diagramas.</t>
  </si>
  <si>
    <t xml:space="preserve">Gráficas de GA4 + interpretación y recomendaciones.</t>
  </si>
  <si>
    <t xml:space="preserve">Análisis con gráficas</t>
  </si>
  <si>
    <t xml:space="preserve">Total de puntos de la rúbrica</t>
  </si>
  <si>
    <t xml:space="preserve">Puntos en estado 'Listo'</t>
  </si>
  <si>
    <t xml:space="preserve">Puntos pendientes o parciales</t>
  </si>
  <si>
    <t xml:space="preserve">Criterios 'Listo'</t>
  </si>
  <si>
    <t xml:space="preserve">Estados iniciales tomados de la verificación en la EC2 (7/oct/2026); actualícenlos al avanzar.</t>
  </si>
  <si>
    <t xml:space="preserve">Opción A · Consola en la EC2 (la más rápida)</t>
  </si>
  <si>
    <t xml:space="preserve">1. PowerShell:  ssh -i $HOME\.ssh\GERENCIALES2.pem ec2-user@3.231.215.139</t>
  </si>
  <si>
    <t xml:space="preserve">2. cd ~/quetzalmart</t>
  </si>
  <si>
    <t xml:space="preserve">3. docker compose exec db psql -U odoo -d quetzalmart</t>
  </si>
  <si>
    <t xml:space="preserve">4. Pegar la query de la columna G y presionar Enter. Salir con \q</t>
  </si>
  <si>
    <t xml:space="preserve">Todas juntas con resumen de metas:  docker compose exec db psql -U odoo -d quetzalmart -f /sql/consultas_calificacion.sql</t>
  </si>
  <si>
    <t xml:space="preserve">Opción B · DBeaver / pgAdmin con túnel SSH (más visual)</t>
  </si>
  <si>
    <t xml:space="preserve">Main:  Host localhost · Port 5432 · Database quetzalmart · User odoo · Password = POSTGRES_PASSWORD del .env</t>
  </si>
  <si>
    <t xml:space="preserve">SSH:   Host 3.231.215.139 · Port 22 · User ec2-user · Auth: Public key → GERENCIALES2.pem</t>
  </si>
  <si>
    <t xml:space="preserve">Notas</t>
  </si>
  <si>
    <t xml:space="preserve">· En Odoo 18 los nombres de cargos, departamentos, productos y etiquetas son JSON → por eso se usa name-&gt;&gt;'es_419'.</t>
  </si>
  <si>
    <t xml:space="preserve">· En Odoo Community la app de facturas se llama 'Facturación' (no 'Contabilidad').</t>
  </si>
  <si>
    <t xml:space="preserve">· (▼) = flecha a la derecha del buscador, abre Filtros / Agrupar por.</t>
  </si>
  <si>
    <t xml:space="preserve">· Para Ajustes → Técnico hay que activar el modo desarrollador: Ajustes → (abajo) Activar el modo de desarrollador.</t>
  </si>
  <si>
    <t xml:space="preserve">· Las filas de Google Analytics y de los manuales no tienen query: se verifican en GA4 o en el documento.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</si>
</sst>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7A4D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7A4D"/>
      <name val="Arial"/>
      <family val="0"/>
      <charset val="1"/>
    </font>
    <font>
      <sz val="10"/>
      <name val="Arial"/>
      <family val="0"/>
      <charset val="1"/>
    </font>
    <font>
      <sz val="9"/>
      <name val="Consolas"/>
      <family val="0"/>
      <charset val="1"/>
    </font>
    <font>
      <b val="true"/>
      <sz val="11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2"/>
      <color rgb="FF007A4D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7A4D"/>
        <bgColor rgb="FF008080"/>
      </patternFill>
    </fill>
    <fill>
      <patternFill patternType="solid">
        <fgColor rgb="FFE8F3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007A4D"/>
          <bgColor rgb="FF000000"/>
        </patternFill>
      </fill>
    </dxf>
    <dxf>
      <fill>
        <patternFill patternType="solid">
          <fgColor rgb="FFE8F3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7A4D"/>
      <rgbColor rgb="FFC8C8C8"/>
      <rgbColor rgb="FF7F7F7F"/>
      <rgbColor rgb="FF9999FF"/>
      <rgbColor rgb="FF993366"/>
      <rgbColor rgb="FFFFFFCC"/>
      <rgbColor rgb="FFE8F3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38"/>
    <col collapsed="false" customWidth="true" hidden="false" outlineLevel="0" max="5" min="5" style="0" width="20"/>
    <col collapsed="false" customWidth="true" hidden="false" outlineLevel="0" max="6" min="6" style="0" width="60"/>
    <col collapsed="false" customWidth="true" hidden="false" outlineLevel="0" max="7" min="7" style="0" width="70"/>
    <col collapsed="false" customWidth="true" hidden="false" outlineLevel="0" max="8" min="8" style="0" width="28"/>
    <col collapsed="false" customWidth="true" hidden="false" outlineLevel="0" max="9" min="9" style="0" width="16"/>
    <col collapsed="false" customWidth="true" hidden="false" outlineLevel="0" max="10" min="10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13</v>
      </c>
      <c r="B6" s="5"/>
      <c r="C6" s="5"/>
      <c r="D6" s="5"/>
      <c r="E6" s="5"/>
      <c r="F6" s="5"/>
      <c r="G6" s="5"/>
      <c r="H6" s="5"/>
      <c r="I6" s="5"/>
      <c r="J6" s="5"/>
    </row>
    <row r="7" customFormat="false" ht="96" hidden="false" customHeight="true" outlineLevel="0" collapsed="false">
      <c r="A7" s="6" t="s">
        <v>14</v>
      </c>
      <c r="B7" s="7" t="s">
        <v>15</v>
      </c>
      <c r="C7" s="8" t="n">
        <v>1</v>
      </c>
      <c r="D7" s="7" t="s">
        <v>16</v>
      </c>
      <c r="E7" s="7" t="s">
        <v>17</v>
      </c>
      <c r="F7" s="7" t="s">
        <v>18</v>
      </c>
      <c r="G7" s="9" t="s">
        <v>19</v>
      </c>
      <c r="H7" s="7" t="s">
        <v>20</v>
      </c>
      <c r="I7" s="7" t="s">
        <v>21</v>
      </c>
      <c r="J7" s="7"/>
    </row>
    <row r="8" customFormat="false" ht="171" hidden="false" customHeight="true" outlineLevel="0" collapsed="false">
      <c r="A8" s="6" t="s">
        <v>22</v>
      </c>
      <c r="B8" s="7" t="s">
        <v>23</v>
      </c>
      <c r="C8" s="8" t="n">
        <v>1</v>
      </c>
      <c r="D8" s="7" t="s">
        <v>24</v>
      </c>
      <c r="E8" s="7" t="s">
        <v>25</v>
      </c>
      <c r="F8" s="7" t="s">
        <v>26</v>
      </c>
      <c r="G8" s="9" t="s">
        <v>27</v>
      </c>
      <c r="H8" s="7" t="s">
        <v>28</v>
      </c>
      <c r="I8" s="7" t="s">
        <v>29</v>
      </c>
      <c r="J8" s="7"/>
    </row>
    <row r="9" customFormat="false" ht="171" hidden="false" customHeight="true" outlineLevel="0" collapsed="false">
      <c r="A9" s="6" t="s">
        <v>30</v>
      </c>
      <c r="B9" s="7" t="s">
        <v>31</v>
      </c>
      <c r="C9" s="8" t="n">
        <v>1</v>
      </c>
      <c r="D9" s="7" t="s">
        <v>32</v>
      </c>
      <c r="E9" s="7" t="s">
        <v>33</v>
      </c>
      <c r="F9" s="7" t="s">
        <v>34</v>
      </c>
      <c r="G9" s="9" t="s">
        <v>35</v>
      </c>
      <c r="H9" s="7" t="s">
        <v>36</v>
      </c>
      <c r="I9" s="7" t="s">
        <v>37</v>
      </c>
      <c r="J9" s="7"/>
    </row>
    <row r="10" customFormat="false" ht="81" hidden="false" customHeight="true" outlineLevel="0" collapsed="false">
      <c r="A10" s="6" t="s">
        <v>38</v>
      </c>
      <c r="B10" s="7" t="s">
        <v>39</v>
      </c>
      <c r="C10" s="8" t="n">
        <v>1</v>
      </c>
      <c r="D10" s="7" t="s">
        <v>40</v>
      </c>
      <c r="E10" s="7" t="s">
        <v>33</v>
      </c>
      <c r="F10" s="7" t="s">
        <v>41</v>
      </c>
      <c r="G10" s="9" t="s">
        <v>42</v>
      </c>
      <c r="H10" s="7" t="s">
        <v>43</v>
      </c>
      <c r="I10" s="7" t="s">
        <v>37</v>
      </c>
      <c r="J10" s="7"/>
    </row>
    <row r="11" customFormat="false" ht="81" hidden="false" customHeight="true" outlineLevel="0" collapsed="false">
      <c r="A11" s="6" t="s">
        <v>44</v>
      </c>
      <c r="B11" s="7" t="s">
        <v>45</v>
      </c>
      <c r="C11" s="8" t="n">
        <v>1</v>
      </c>
      <c r="D11" s="7" t="s">
        <v>46</v>
      </c>
      <c r="E11" s="7" t="s">
        <v>33</v>
      </c>
      <c r="F11" s="7" t="s">
        <v>47</v>
      </c>
      <c r="G11" s="9" t="s">
        <v>48</v>
      </c>
      <c r="H11" s="7" t="s">
        <v>49</v>
      </c>
      <c r="I11" s="7" t="s">
        <v>37</v>
      </c>
      <c r="J11" s="7"/>
    </row>
    <row r="12" customFormat="false" ht="186" hidden="false" customHeight="true" outlineLevel="0" collapsed="false">
      <c r="A12" s="6" t="s">
        <v>50</v>
      </c>
      <c r="B12" s="7" t="s">
        <v>51</v>
      </c>
      <c r="C12" s="8" t="n">
        <v>1</v>
      </c>
      <c r="D12" s="7" t="s">
        <v>52</v>
      </c>
      <c r="E12" s="7" t="s">
        <v>33</v>
      </c>
      <c r="F12" s="7" t="s">
        <v>53</v>
      </c>
      <c r="G12" s="9" t="s">
        <v>54</v>
      </c>
      <c r="H12" s="7" t="s">
        <v>55</v>
      </c>
      <c r="I12" s="7" t="s">
        <v>37</v>
      </c>
      <c r="J12" s="7"/>
    </row>
    <row r="13" customFormat="false" ht="156" hidden="false" customHeight="true" outlineLevel="0" collapsed="false">
      <c r="A13" s="6" t="s">
        <v>56</v>
      </c>
      <c r="B13" s="7" t="s">
        <v>57</v>
      </c>
      <c r="C13" s="8" t="n">
        <v>1</v>
      </c>
      <c r="D13" s="7" t="s">
        <v>58</v>
      </c>
      <c r="E13" s="7" t="s">
        <v>33</v>
      </c>
      <c r="F13" s="7" t="s">
        <v>59</v>
      </c>
      <c r="G13" s="9" t="s">
        <v>60</v>
      </c>
      <c r="H13" s="7" t="s">
        <v>61</v>
      </c>
      <c r="I13" s="7" t="s">
        <v>37</v>
      </c>
      <c r="J13" s="7"/>
    </row>
    <row r="14" customFormat="false" ht="141" hidden="false" customHeight="true" outlineLevel="0" collapsed="false">
      <c r="A14" s="6" t="s">
        <v>62</v>
      </c>
      <c r="B14" s="7" t="s">
        <v>63</v>
      </c>
      <c r="C14" s="8" t="n">
        <v>1</v>
      </c>
      <c r="D14" s="7" t="s">
        <v>64</v>
      </c>
      <c r="E14" s="7" t="s">
        <v>65</v>
      </c>
      <c r="F14" s="7" t="s">
        <v>66</v>
      </c>
      <c r="G14" s="9" t="s">
        <v>67</v>
      </c>
      <c r="H14" s="7" t="s">
        <v>68</v>
      </c>
      <c r="I14" s="7" t="s">
        <v>37</v>
      </c>
      <c r="J14" s="7"/>
    </row>
    <row r="15" customFormat="false" ht="126" hidden="false" customHeight="true" outlineLevel="0" collapsed="false">
      <c r="A15" s="6" t="s">
        <v>69</v>
      </c>
      <c r="B15" s="7" t="s">
        <v>70</v>
      </c>
      <c r="C15" s="8" t="n">
        <v>1</v>
      </c>
      <c r="D15" s="7" t="s">
        <v>71</v>
      </c>
      <c r="E15" s="7" t="s">
        <v>33</v>
      </c>
      <c r="F15" s="7" t="s">
        <v>72</v>
      </c>
      <c r="G15" s="9" t="s">
        <v>73</v>
      </c>
      <c r="H15" s="7" t="s">
        <v>74</v>
      </c>
      <c r="I15" s="7" t="s">
        <v>37</v>
      </c>
      <c r="J15" s="7"/>
    </row>
    <row r="16" customFormat="false" ht="66" hidden="false" customHeight="true" outlineLevel="0" collapsed="false">
      <c r="A16" s="6" t="s">
        <v>75</v>
      </c>
      <c r="B16" s="7" t="s">
        <v>76</v>
      </c>
      <c r="C16" s="8" t="n">
        <v>5</v>
      </c>
      <c r="D16" s="7" t="s">
        <v>77</v>
      </c>
      <c r="E16" s="7" t="s">
        <v>78</v>
      </c>
      <c r="F16" s="7" t="s">
        <v>79</v>
      </c>
      <c r="G16" s="9" t="s">
        <v>80</v>
      </c>
      <c r="H16" s="7" t="s">
        <v>81</v>
      </c>
      <c r="I16" s="7" t="s">
        <v>82</v>
      </c>
      <c r="J16" s="7"/>
    </row>
    <row r="17" customFormat="false" ht="111" hidden="false" customHeight="true" outlineLevel="0" collapsed="false">
      <c r="A17" s="6" t="s">
        <v>83</v>
      </c>
      <c r="B17" s="7" t="s">
        <v>84</v>
      </c>
      <c r="C17" s="8" t="n">
        <v>2</v>
      </c>
      <c r="D17" s="7" t="s">
        <v>85</v>
      </c>
      <c r="E17" s="7" t="s">
        <v>86</v>
      </c>
      <c r="F17" s="7" t="s">
        <v>87</v>
      </c>
      <c r="G17" s="9" t="s">
        <v>88</v>
      </c>
      <c r="H17" s="7" t="s">
        <v>89</v>
      </c>
      <c r="I17" s="7" t="s">
        <v>21</v>
      </c>
      <c r="J17" s="7"/>
    </row>
    <row r="18" customFormat="false" ht="81" hidden="false" customHeight="true" outlineLevel="0" collapsed="false">
      <c r="A18" s="6" t="s">
        <v>90</v>
      </c>
      <c r="B18" s="7" t="s">
        <v>91</v>
      </c>
      <c r="C18" s="8" t="n">
        <v>2</v>
      </c>
      <c r="D18" s="7" t="s">
        <v>92</v>
      </c>
      <c r="E18" s="7" t="s">
        <v>17</v>
      </c>
      <c r="F18" s="7" t="s">
        <v>93</v>
      </c>
      <c r="G18" s="9" t="s">
        <v>94</v>
      </c>
      <c r="H18" s="7" t="s">
        <v>95</v>
      </c>
      <c r="I18" s="7" t="s">
        <v>21</v>
      </c>
      <c r="J18" s="7"/>
    </row>
    <row r="19" customFormat="false" ht="66" hidden="false" customHeight="true" outlineLevel="0" collapsed="false">
      <c r="A19" s="6" t="s">
        <v>96</v>
      </c>
      <c r="B19" s="7" t="s">
        <v>97</v>
      </c>
      <c r="C19" s="8" t="n">
        <v>2</v>
      </c>
      <c r="D19" s="7" t="s">
        <v>98</v>
      </c>
      <c r="E19" s="7" t="s">
        <v>17</v>
      </c>
      <c r="F19" s="7" t="s">
        <v>99</v>
      </c>
      <c r="G19" s="9" t="s">
        <v>100</v>
      </c>
      <c r="H19" s="7" t="s">
        <v>101</v>
      </c>
      <c r="I19" s="7" t="s">
        <v>21</v>
      </c>
      <c r="J19" s="7"/>
    </row>
    <row r="20" customFormat="false" ht="36" hidden="false" customHeight="true" outlineLevel="0" collapsed="false">
      <c r="A20" s="6" t="s">
        <v>102</v>
      </c>
      <c r="B20" s="7" t="s">
        <v>103</v>
      </c>
      <c r="C20" s="8" t="n">
        <v>3</v>
      </c>
      <c r="D20" s="7" t="s">
        <v>104</v>
      </c>
      <c r="E20" s="7" t="s">
        <v>105</v>
      </c>
      <c r="F20" s="7" t="s">
        <v>106</v>
      </c>
      <c r="G20" s="9" t="s">
        <v>107</v>
      </c>
      <c r="H20" s="7" t="s">
        <v>108</v>
      </c>
      <c r="I20" s="7" t="s">
        <v>21</v>
      </c>
      <c r="J20" s="7"/>
    </row>
    <row r="21" customFormat="false" ht="36" hidden="false" customHeight="true" outlineLevel="0" collapsed="false">
      <c r="A21" s="6" t="s">
        <v>109</v>
      </c>
      <c r="B21" s="7" t="s">
        <v>110</v>
      </c>
      <c r="C21" s="8" t="n">
        <v>2</v>
      </c>
      <c r="D21" s="7" t="s">
        <v>111</v>
      </c>
      <c r="E21" s="7" t="s">
        <v>105</v>
      </c>
      <c r="F21" s="7" t="s">
        <v>112</v>
      </c>
      <c r="G21" s="9" t="s">
        <v>113</v>
      </c>
      <c r="H21" s="7" t="s">
        <v>114</v>
      </c>
      <c r="I21" s="7" t="s">
        <v>21</v>
      </c>
      <c r="J21" s="7"/>
    </row>
    <row r="22" customFormat="false" ht="36" hidden="false" customHeight="true" outlineLevel="0" collapsed="false">
      <c r="A22" s="6" t="s">
        <v>115</v>
      </c>
      <c r="B22" s="7" t="s">
        <v>116</v>
      </c>
      <c r="C22" s="8" t="n">
        <v>2</v>
      </c>
      <c r="D22" s="7" t="s">
        <v>117</v>
      </c>
      <c r="E22" s="7" t="s">
        <v>105</v>
      </c>
      <c r="F22" s="7" t="s">
        <v>118</v>
      </c>
      <c r="G22" s="9" t="s">
        <v>113</v>
      </c>
      <c r="H22" s="7" t="s">
        <v>114</v>
      </c>
      <c r="I22" s="7" t="s">
        <v>21</v>
      </c>
      <c r="J22" s="7"/>
    </row>
    <row r="23" customFormat="false" ht="51" hidden="false" customHeight="true" outlineLevel="0" collapsed="false">
      <c r="A23" s="6" t="s">
        <v>119</v>
      </c>
      <c r="B23" s="7" t="s">
        <v>120</v>
      </c>
      <c r="C23" s="8" t="n">
        <v>2</v>
      </c>
      <c r="D23" s="7" t="s">
        <v>121</v>
      </c>
      <c r="E23" s="7" t="s">
        <v>105</v>
      </c>
      <c r="F23" s="7" t="s">
        <v>122</v>
      </c>
      <c r="G23" s="9" t="s">
        <v>113</v>
      </c>
      <c r="H23" s="7" t="s">
        <v>114</v>
      </c>
      <c r="I23" s="7" t="s">
        <v>21</v>
      </c>
      <c r="J23" s="7"/>
    </row>
    <row r="24" customFormat="false" ht="36" hidden="false" customHeight="true" outlineLevel="0" collapsed="false">
      <c r="A24" s="6" t="s">
        <v>123</v>
      </c>
      <c r="B24" s="7" t="s">
        <v>124</v>
      </c>
      <c r="C24" s="8" t="n">
        <v>2</v>
      </c>
      <c r="D24" s="7" t="s">
        <v>125</v>
      </c>
      <c r="E24" s="7" t="s">
        <v>105</v>
      </c>
      <c r="F24" s="7" t="s">
        <v>126</v>
      </c>
      <c r="G24" s="9" t="s">
        <v>113</v>
      </c>
      <c r="H24" s="7" t="s">
        <v>114</v>
      </c>
      <c r="I24" s="7" t="s">
        <v>21</v>
      </c>
      <c r="J24" s="7"/>
    </row>
    <row r="25" customFormat="false" ht="21" hidden="false" customHeight="true" outlineLevel="0" collapsed="false">
      <c r="A25" s="6" t="s">
        <v>127</v>
      </c>
      <c r="B25" s="7" t="s">
        <v>128</v>
      </c>
      <c r="C25" s="8" t="n">
        <v>2</v>
      </c>
      <c r="D25" s="7" t="s">
        <v>129</v>
      </c>
      <c r="E25" s="7" t="s">
        <v>105</v>
      </c>
      <c r="F25" s="7" t="s">
        <v>130</v>
      </c>
      <c r="G25" s="9" t="s">
        <v>113</v>
      </c>
      <c r="H25" s="7" t="s">
        <v>131</v>
      </c>
      <c r="I25" s="7" t="s">
        <v>21</v>
      </c>
      <c r="J25" s="7"/>
    </row>
    <row r="26" customFormat="false" ht="36" hidden="false" customHeight="true" outlineLevel="0" collapsed="false">
      <c r="A26" s="6" t="s">
        <v>132</v>
      </c>
      <c r="B26" s="7" t="s">
        <v>133</v>
      </c>
      <c r="C26" s="8" t="n">
        <v>2</v>
      </c>
      <c r="D26" s="7" t="s">
        <v>134</v>
      </c>
      <c r="E26" s="7" t="s">
        <v>105</v>
      </c>
      <c r="F26" s="7" t="s">
        <v>135</v>
      </c>
      <c r="G26" s="9" t="s">
        <v>113</v>
      </c>
      <c r="H26" s="7" t="s">
        <v>136</v>
      </c>
      <c r="I26" s="7" t="s">
        <v>21</v>
      </c>
      <c r="J26" s="7"/>
    </row>
    <row r="27" customFormat="false" ht="36" hidden="false" customHeight="true" outlineLevel="0" collapsed="false">
      <c r="A27" s="6" t="s">
        <v>137</v>
      </c>
      <c r="B27" s="7" t="s">
        <v>138</v>
      </c>
      <c r="C27" s="8" t="n">
        <v>2</v>
      </c>
      <c r="D27" s="7" t="s">
        <v>139</v>
      </c>
      <c r="E27" s="7" t="s">
        <v>105</v>
      </c>
      <c r="F27" s="7" t="s">
        <v>140</v>
      </c>
      <c r="G27" s="9" t="s">
        <v>141</v>
      </c>
      <c r="H27" s="7" t="s">
        <v>142</v>
      </c>
      <c r="I27" s="7" t="s">
        <v>21</v>
      </c>
      <c r="J27" s="7"/>
    </row>
    <row r="28" customFormat="false" ht="111" hidden="false" customHeight="true" outlineLevel="0" collapsed="false">
      <c r="A28" s="6" t="s">
        <v>143</v>
      </c>
      <c r="B28" s="7" t="s">
        <v>144</v>
      </c>
      <c r="C28" s="8" t="n">
        <v>2</v>
      </c>
      <c r="D28" s="7" t="s">
        <v>145</v>
      </c>
      <c r="E28" s="7" t="s">
        <v>105</v>
      </c>
      <c r="F28" s="7" t="s">
        <v>146</v>
      </c>
      <c r="G28" s="9" t="s">
        <v>147</v>
      </c>
      <c r="H28" s="7" t="s">
        <v>148</v>
      </c>
      <c r="I28" s="7" t="s">
        <v>21</v>
      </c>
      <c r="J28" s="7"/>
    </row>
    <row r="29" customFormat="false" ht="66" hidden="false" customHeight="true" outlineLevel="0" collapsed="false">
      <c r="A29" s="6" t="s">
        <v>149</v>
      </c>
      <c r="B29" s="7" t="s">
        <v>150</v>
      </c>
      <c r="C29" s="8" t="n">
        <v>2</v>
      </c>
      <c r="D29" s="7" t="s">
        <v>151</v>
      </c>
      <c r="E29" s="7" t="s">
        <v>105</v>
      </c>
      <c r="F29" s="7" t="s">
        <v>152</v>
      </c>
      <c r="G29" s="9" t="s">
        <v>153</v>
      </c>
      <c r="H29" s="7" t="s">
        <v>154</v>
      </c>
      <c r="I29" s="7" t="s">
        <v>21</v>
      </c>
      <c r="J29" s="7"/>
    </row>
    <row r="30" customFormat="false" ht="36" hidden="false" customHeight="true" outlineLevel="0" collapsed="false">
      <c r="A30" s="6" t="s">
        <v>155</v>
      </c>
      <c r="B30" s="7" t="s">
        <v>156</v>
      </c>
      <c r="C30" s="8" t="n">
        <v>2</v>
      </c>
      <c r="D30" s="7" t="s">
        <v>157</v>
      </c>
      <c r="E30" s="7" t="s">
        <v>105</v>
      </c>
      <c r="F30" s="7" t="s">
        <v>158</v>
      </c>
      <c r="G30" s="9" t="s">
        <v>113</v>
      </c>
      <c r="H30" s="7" t="s">
        <v>159</v>
      </c>
      <c r="I30" s="7" t="s">
        <v>21</v>
      </c>
      <c r="J30" s="7"/>
    </row>
    <row r="31" customFormat="false" ht="21" hidden="false" customHeight="true" outlineLevel="0" collapsed="false">
      <c r="A31" s="6" t="s">
        <v>160</v>
      </c>
      <c r="B31" s="7" t="s">
        <v>161</v>
      </c>
      <c r="C31" s="8" t="n">
        <v>2</v>
      </c>
      <c r="D31" s="7" t="s">
        <v>162</v>
      </c>
      <c r="E31" s="7" t="s">
        <v>105</v>
      </c>
      <c r="F31" s="7" t="s">
        <v>163</v>
      </c>
      <c r="G31" s="9" t="s">
        <v>113</v>
      </c>
      <c r="H31" s="7" t="s">
        <v>164</v>
      </c>
      <c r="I31" s="7" t="s">
        <v>21</v>
      </c>
      <c r="J31" s="7"/>
    </row>
    <row r="32" customFormat="false" ht="36" hidden="false" customHeight="true" outlineLevel="0" collapsed="false">
      <c r="A32" s="6" t="s">
        <v>165</v>
      </c>
      <c r="B32" s="7" t="s">
        <v>166</v>
      </c>
      <c r="C32" s="8" t="n">
        <v>2</v>
      </c>
      <c r="D32" s="7" t="s">
        <v>167</v>
      </c>
      <c r="E32" s="7" t="s">
        <v>105</v>
      </c>
      <c r="F32" s="7" t="s">
        <v>168</v>
      </c>
      <c r="G32" s="9" t="s">
        <v>113</v>
      </c>
      <c r="H32" s="7" t="s">
        <v>169</v>
      </c>
      <c r="I32" s="7" t="s">
        <v>21</v>
      </c>
      <c r="J32" s="7"/>
    </row>
    <row r="33" customFormat="false" ht="51" hidden="false" customHeight="true" outlineLevel="0" collapsed="false">
      <c r="A33" s="6" t="s">
        <v>170</v>
      </c>
      <c r="B33" s="7" t="s">
        <v>171</v>
      </c>
      <c r="C33" s="8" t="n">
        <v>3</v>
      </c>
      <c r="D33" s="7" t="s">
        <v>172</v>
      </c>
      <c r="E33" s="7" t="s">
        <v>173</v>
      </c>
      <c r="F33" s="7" t="s">
        <v>174</v>
      </c>
      <c r="G33" s="9" t="s">
        <v>175</v>
      </c>
      <c r="H33" s="7" t="s">
        <v>176</v>
      </c>
      <c r="I33" s="7" t="s">
        <v>21</v>
      </c>
      <c r="J33" s="7"/>
    </row>
    <row r="34" customFormat="false" ht="51" hidden="false" customHeight="true" outlineLevel="0" collapsed="false">
      <c r="A34" s="6" t="s">
        <v>177</v>
      </c>
      <c r="B34" s="7" t="s">
        <v>178</v>
      </c>
      <c r="C34" s="8" t="n">
        <v>2</v>
      </c>
      <c r="D34" s="7" t="s">
        <v>179</v>
      </c>
      <c r="E34" s="7" t="s">
        <v>173</v>
      </c>
      <c r="F34" s="7" t="s">
        <v>180</v>
      </c>
      <c r="G34" s="9" t="s">
        <v>181</v>
      </c>
      <c r="H34" s="7" t="s">
        <v>182</v>
      </c>
      <c r="I34" s="7" t="s">
        <v>21</v>
      </c>
      <c r="J34" s="7"/>
    </row>
    <row r="35" customFormat="false" ht="81" hidden="false" customHeight="true" outlineLevel="0" collapsed="false">
      <c r="A35" s="6" t="s">
        <v>183</v>
      </c>
      <c r="B35" s="7" t="s">
        <v>184</v>
      </c>
      <c r="C35" s="8" t="n">
        <v>2</v>
      </c>
      <c r="D35" s="7" t="s">
        <v>185</v>
      </c>
      <c r="E35" s="7" t="s">
        <v>173</v>
      </c>
      <c r="F35" s="7" t="s">
        <v>186</v>
      </c>
      <c r="G35" s="9" t="s">
        <v>187</v>
      </c>
      <c r="H35" s="7" t="s">
        <v>188</v>
      </c>
      <c r="I35" s="7" t="s">
        <v>21</v>
      </c>
      <c r="J35" s="7"/>
    </row>
    <row r="36" customFormat="false" ht="141" hidden="false" customHeight="true" outlineLevel="0" collapsed="false">
      <c r="A36" s="6" t="s">
        <v>189</v>
      </c>
      <c r="B36" s="7" t="s">
        <v>190</v>
      </c>
      <c r="C36" s="8" t="n">
        <v>3</v>
      </c>
      <c r="D36" s="7" t="s">
        <v>191</v>
      </c>
      <c r="E36" s="7" t="s">
        <v>192</v>
      </c>
      <c r="F36" s="7" t="s">
        <v>193</v>
      </c>
      <c r="G36" s="9" t="s">
        <v>194</v>
      </c>
      <c r="H36" s="7" t="s">
        <v>195</v>
      </c>
      <c r="I36" s="7" t="s">
        <v>21</v>
      </c>
      <c r="J36" s="7"/>
    </row>
    <row r="37" customFormat="false" ht="111" hidden="false" customHeight="true" outlineLevel="0" collapsed="false">
      <c r="A37" s="6" t="s">
        <v>196</v>
      </c>
      <c r="B37" s="7" t="s">
        <v>197</v>
      </c>
      <c r="C37" s="8" t="n">
        <v>3</v>
      </c>
      <c r="D37" s="7" t="s">
        <v>198</v>
      </c>
      <c r="E37" s="7" t="s">
        <v>192</v>
      </c>
      <c r="F37" s="7" t="s">
        <v>199</v>
      </c>
      <c r="G37" s="9" t="s">
        <v>200</v>
      </c>
      <c r="H37" s="7" t="s">
        <v>201</v>
      </c>
      <c r="I37" s="7" t="s">
        <v>21</v>
      </c>
      <c r="J37" s="7"/>
    </row>
    <row r="38" customFormat="false" ht="81" hidden="false" customHeight="true" outlineLevel="0" collapsed="false">
      <c r="A38" s="6" t="s">
        <v>202</v>
      </c>
      <c r="B38" s="7" t="s">
        <v>203</v>
      </c>
      <c r="C38" s="8" t="n">
        <v>4</v>
      </c>
      <c r="D38" s="7" t="s">
        <v>204</v>
      </c>
      <c r="E38" s="7" t="s">
        <v>17</v>
      </c>
      <c r="F38" s="7" t="s">
        <v>205</v>
      </c>
      <c r="G38" s="9" t="s">
        <v>206</v>
      </c>
      <c r="H38" s="7" t="s">
        <v>207</v>
      </c>
      <c r="I38" s="7" t="s">
        <v>21</v>
      </c>
      <c r="J38" s="7"/>
    </row>
    <row r="39" customFormat="false" ht="66" hidden="false" customHeight="true" outlineLevel="0" collapsed="false">
      <c r="A39" s="6" t="s">
        <v>208</v>
      </c>
      <c r="B39" s="7" t="s">
        <v>209</v>
      </c>
      <c r="C39" s="8" t="n">
        <v>6</v>
      </c>
      <c r="D39" s="7" t="s">
        <v>210</v>
      </c>
      <c r="E39" s="7" t="s">
        <v>17</v>
      </c>
      <c r="F39" s="7" t="s">
        <v>211</v>
      </c>
      <c r="G39" s="9" t="s">
        <v>212</v>
      </c>
      <c r="H39" s="7" t="s">
        <v>213</v>
      </c>
      <c r="I39" s="7" t="s">
        <v>21</v>
      </c>
      <c r="J39" s="7"/>
    </row>
    <row r="40" customFormat="false" ht="15" hidden="false" customHeight="false" outlineLevel="0" collapsed="false">
      <c r="A40" s="5" t="s">
        <v>214</v>
      </c>
      <c r="B40" s="5"/>
      <c r="C40" s="5"/>
      <c r="D40" s="5"/>
      <c r="E40" s="5"/>
      <c r="F40" s="5"/>
      <c r="G40" s="5"/>
      <c r="H40" s="5"/>
      <c r="I40" s="5"/>
      <c r="J40" s="5"/>
    </row>
    <row r="41" customFormat="false" ht="36" hidden="false" customHeight="true" outlineLevel="0" collapsed="false">
      <c r="A41" s="6" t="s">
        <v>215</v>
      </c>
      <c r="B41" s="7" t="s">
        <v>216</v>
      </c>
      <c r="C41" s="8" t="n">
        <v>5</v>
      </c>
      <c r="D41" s="7" t="s">
        <v>217</v>
      </c>
      <c r="E41" s="7" t="s">
        <v>218</v>
      </c>
      <c r="F41" s="7" t="s">
        <v>219</v>
      </c>
      <c r="G41" s="9" t="s">
        <v>220</v>
      </c>
      <c r="H41" s="7" t="s">
        <v>221</v>
      </c>
      <c r="I41" s="7" t="s">
        <v>21</v>
      </c>
      <c r="J41" s="7"/>
    </row>
    <row r="42" customFormat="false" ht="36" hidden="false" customHeight="true" outlineLevel="0" collapsed="false">
      <c r="A42" s="6" t="s">
        <v>222</v>
      </c>
      <c r="B42" s="7" t="s">
        <v>223</v>
      </c>
      <c r="C42" s="8" t="n">
        <v>1</v>
      </c>
      <c r="D42" s="7" t="s">
        <v>224</v>
      </c>
      <c r="E42" s="7" t="s">
        <v>192</v>
      </c>
      <c r="F42" s="7" t="s">
        <v>225</v>
      </c>
      <c r="G42" s="9" t="s">
        <v>220</v>
      </c>
      <c r="H42" s="7" t="s">
        <v>226</v>
      </c>
      <c r="I42" s="7" t="s">
        <v>21</v>
      </c>
      <c r="J42" s="7"/>
    </row>
    <row r="43" customFormat="false" ht="36" hidden="false" customHeight="true" outlineLevel="0" collapsed="false">
      <c r="A43" s="6" t="s">
        <v>227</v>
      </c>
      <c r="B43" s="7" t="s">
        <v>228</v>
      </c>
      <c r="C43" s="8" t="n">
        <v>1</v>
      </c>
      <c r="D43" s="7" t="s">
        <v>229</v>
      </c>
      <c r="E43" s="7" t="s">
        <v>192</v>
      </c>
      <c r="F43" s="7" t="s">
        <v>230</v>
      </c>
      <c r="G43" s="9" t="s">
        <v>220</v>
      </c>
      <c r="H43" s="7" t="s">
        <v>231</v>
      </c>
      <c r="I43" s="7" t="s">
        <v>21</v>
      </c>
      <c r="J43" s="7"/>
    </row>
    <row r="44" customFormat="false" ht="51" hidden="false" customHeight="true" outlineLevel="0" collapsed="false">
      <c r="A44" s="6" t="s">
        <v>232</v>
      </c>
      <c r="B44" s="7" t="s">
        <v>233</v>
      </c>
      <c r="C44" s="8" t="n">
        <v>1</v>
      </c>
      <c r="D44" s="7" t="s">
        <v>234</v>
      </c>
      <c r="E44" s="7" t="s">
        <v>235</v>
      </c>
      <c r="F44" s="7" t="s">
        <v>236</v>
      </c>
      <c r="G44" s="9" t="s">
        <v>220</v>
      </c>
      <c r="H44" s="7" t="s">
        <v>237</v>
      </c>
      <c r="I44" s="7" t="s">
        <v>21</v>
      </c>
      <c r="J44" s="7"/>
    </row>
    <row r="45" customFormat="false" ht="36" hidden="false" customHeight="true" outlineLevel="0" collapsed="false">
      <c r="A45" s="6" t="s">
        <v>238</v>
      </c>
      <c r="B45" s="7" t="s">
        <v>239</v>
      </c>
      <c r="C45" s="8" t="n">
        <v>1</v>
      </c>
      <c r="D45" s="7" t="s">
        <v>240</v>
      </c>
      <c r="E45" s="7" t="s">
        <v>192</v>
      </c>
      <c r="F45" s="7" t="s">
        <v>241</v>
      </c>
      <c r="G45" s="9" t="s">
        <v>220</v>
      </c>
      <c r="H45" s="7" t="s">
        <v>242</v>
      </c>
      <c r="I45" s="7" t="s">
        <v>21</v>
      </c>
      <c r="J45" s="7"/>
    </row>
    <row r="46" customFormat="false" ht="36" hidden="false" customHeight="true" outlineLevel="0" collapsed="false">
      <c r="A46" s="6" t="s">
        <v>243</v>
      </c>
      <c r="B46" s="7" t="s">
        <v>244</v>
      </c>
      <c r="C46" s="8" t="n">
        <v>5</v>
      </c>
      <c r="D46" s="7" t="s">
        <v>245</v>
      </c>
      <c r="E46" s="7" t="s">
        <v>192</v>
      </c>
      <c r="F46" s="7" t="s">
        <v>246</v>
      </c>
      <c r="G46" s="9" t="s">
        <v>220</v>
      </c>
      <c r="H46" s="7" t="s">
        <v>221</v>
      </c>
      <c r="I46" s="7" t="s">
        <v>21</v>
      </c>
      <c r="J46" s="7"/>
    </row>
    <row r="47" customFormat="false" ht="36" hidden="false" customHeight="true" outlineLevel="0" collapsed="false">
      <c r="A47" s="6" t="s">
        <v>247</v>
      </c>
      <c r="B47" s="7" t="s">
        <v>248</v>
      </c>
      <c r="C47" s="8" t="n">
        <v>2</v>
      </c>
      <c r="D47" s="7" t="s">
        <v>249</v>
      </c>
      <c r="E47" s="7" t="s">
        <v>192</v>
      </c>
      <c r="F47" s="7" t="s">
        <v>250</v>
      </c>
      <c r="G47" s="9" t="s">
        <v>220</v>
      </c>
      <c r="H47" s="7" t="s">
        <v>251</v>
      </c>
      <c r="I47" s="7" t="s">
        <v>21</v>
      </c>
      <c r="J47" s="7"/>
    </row>
    <row r="48" customFormat="false" ht="36" hidden="false" customHeight="true" outlineLevel="0" collapsed="false">
      <c r="A48" s="6" t="s">
        <v>252</v>
      </c>
      <c r="B48" s="7" t="s">
        <v>253</v>
      </c>
      <c r="C48" s="8" t="n">
        <v>3</v>
      </c>
      <c r="D48" s="7" t="s">
        <v>254</v>
      </c>
      <c r="E48" s="7" t="s">
        <v>255</v>
      </c>
      <c r="F48" s="7" t="s">
        <v>256</v>
      </c>
      <c r="G48" s="9" t="s">
        <v>220</v>
      </c>
      <c r="H48" s="7" t="s">
        <v>251</v>
      </c>
      <c r="I48" s="7" t="s">
        <v>21</v>
      </c>
      <c r="J48" s="7"/>
    </row>
    <row r="49" customFormat="false" ht="51" hidden="false" customHeight="true" outlineLevel="0" collapsed="false">
      <c r="A49" s="6" t="s">
        <v>257</v>
      </c>
      <c r="B49" s="7" t="s">
        <v>258</v>
      </c>
      <c r="C49" s="8" t="n">
        <v>3</v>
      </c>
      <c r="D49" s="7" t="s">
        <v>259</v>
      </c>
      <c r="E49" s="7" t="s">
        <v>192</v>
      </c>
      <c r="F49" s="7" t="s">
        <v>260</v>
      </c>
      <c r="G49" s="9" t="s">
        <v>220</v>
      </c>
      <c r="H49" s="7" t="s">
        <v>251</v>
      </c>
      <c r="I49" s="7" t="s">
        <v>21</v>
      </c>
      <c r="J49" s="7"/>
    </row>
    <row r="50" customFormat="false" ht="36" hidden="false" customHeight="true" outlineLevel="0" collapsed="false">
      <c r="A50" s="6" t="s">
        <v>261</v>
      </c>
      <c r="B50" s="7" t="s">
        <v>262</v>
      </c>
      <c r="C50" s="8" t="n">
        <v>5</v>
      </c>
      <c r="D50" s="7" t="s">
        <v>245</v>
      </c>
      <c r="E50" s="7" t="s">
        <v>105</v>
      </c>
      <c r="F50" s="7" t="s">
        <v>263</v>
      </c>
      <c r="G50" s="9" t="s">
        <v>220</v>
      </c>
      <c r="H50" s="7" t="s">
        <v>221</v>
      </c>
      <c r="I50" s="7" t="s">
        <v>21</v>
      </c>
      <c r="J50" s="7"/>
    </row>
    <row r="51" customFormat="false" ht="36" hidden="false" customHeight="true" outlineLevel="0" collapsed="false">
      <c r="A51" s="6" t="s">
        <v>264</v>
      </c>
      <c r="B51" s="7" t="s">
        <v>265</v>
      </c>
      <c r="C51" s="8" t="n">
        <v>3</v>
      </c>
      <c r="D51" s="7" t="s">
        <v>266</v>
      </c>
      <c r="E51" s="7" t="s">
        <v>105</v>
      </c>
      <c r="F51" s="7" t="s">
        <v>267</v>
      </c>
      <c r="G51" s="9" t="s">
        <v>220</v>
      </c>
      <c r="H51" s="7" t="s">
        <v>268</v>
      </c>
      <c r="I51" s="7" t="s">
        <v>21</v>
      </c>
      <c r="J51" s="7"/>
    </row>
    <row r="53" customFormat="false" ht="15" hidden="false" customHeight="false" outlineLevel="0" collapsed="false">
      <c r="B53" s="10" t="s">
        <v>269</v>
      </c>
      <c r="C53" s="11" t="n">
        <f aca="false">SUM(C6:C51)</f>
        <v>100</v>
      </c>
    </row>
    <row r="54" customFormat="false" ht="15" hidden="false" customHeight="false" outlineLevel="0" collapsed="false">
      <c r="B54" s="10" t="s">
        <v>270</v>
      </c>
      <c r="C54" s="11" t="n">
        <f aca="false">SUMIF(I6:I51,"Listo",C6:C51)</f>
        <v>7</v>
      </c>
    </row>
    <row r="55" customFormat="false" ht="15" hidden="false" customHeight="false" outlineLevel="0" collapsed="false">
      <c r="B55" s="10" t="s">
        <v>271</v>
      </c>
      <c r="C55" s="11" t="n">
        <f aca="false">C53-C54</f>
        <v>93</v>
      </c>
    </row>
    <row r="56" customFormat="false" ht="15" hidden="false" customHeight="false" outlineLevel="0" collapsed="false">
      <c r="B56" s="10" t="s">
        <v>272</v>
      </c>
      <c r="C56" s="11" t="n">
        <f aca="false">COUNTIF(I6:I51,"Listo")</f>
        <v>7</v>
      </c>
    </row>
    <row r="58" customFormat="false" ht="15" hidden="false" customHeight="false" outlineLevel="0" collapsed="false">
      <c r="B58" s="12" t="s">
        <v>273</v>
      </c>
    </row>
  </sheetData>
  <autoFilter ref="A5:J51"/>
  <mergeCells count="2">
    <mergeCell ref="A6:J6"/>
    <mergeCell ref="A40:J40"/>
  </mergeCells>
  <conditionalFormatting sqref="I6:I51">
    <cfRule type="expression" priority="2" aboveAverage="0" equalAverage="0" bottom="0" percent="0" rank="0" text="" dxfId="11">
      <formula>LEFT(I6,5)="Listo"</formula>
    </cfRule>
    <cfRule type="expression" priority="3" aboveAverage="0" equalAverage="0" bottom="0" percent="0" rank="0" text="" dxfId="12">
      <formula>LEFT(I6,7)="Parcial"</formula>
    </cfRule>
    <cfRule type="expression" priority="4" aboveAverage="0" equalAverage="0" bottom="0" percent="0" rank="0" text="" dxfId="13">
      <formula>LEFT(I6,9)="Pendiente"</formula>
    </cfRule>
  </conditionalFormatting>
  <dataValidations count="1">
    <dataValidation allowBlank="true" errorStyle="stop" operator="between" showDropDown="false" showErrorMessage="false" showInputMessage="false" sqref="I6:I51" type="list">
      <formula1>"Listo,Parcial,Pendiente,No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3" t="s">
        <v>274</v>
      </c>
    </row>
    <row r="2" customFormat="false" ht="15" hidden="false" customHeight="false" outlineLevel="0" collapsed="false">
      <c r="A2" s="14" t="s">
        <v>275</v>
      </c>
    </row>
    <row r="3" customFormat="false" ht="15" hidden="false" customHeight="false" outlineLevel="0" collapsed="false">
      <c r="A3" s="14" t="s">
        <v>276</v>
      </c>
    </row>
    <row r="4" customFormat="false" ht="15" hidden="false" customHeight="false" outlineLevel="0" collapsed="false">
      <c r="A4" s="14" t="s">
        <v>277</v>
      </c>
    </row>
    <row r="5" customFormat="false" ht="15" hidden="false" customHeight="false" outlineLevel="0" collapsed="false">
      <c r="A5" s="14" t="s">
        <v>278</v>
      </c>
    </row>
    <row r="6" customFormat="false" ht="15" hidden="false" customHeight="false" outlineLevel="0" collapsed="false">
      <c r="A6" s="14" t="s">
        <v>279</v>
      </c>
    </row>
    <row r="7" customFormat="false" ht="15" hidden="false" customHeight="false" outlineLevel="0" collapsed="false">
      <c r="A7" s="14"/>
    </row>
    <row r="8" customFormat="false" ht="15" hidden="false" customHeight="false" outlineLevel="0" collapsed="false">
      <c r="A8" s="13" t="s">
        <v>280</v>
      </c>
    </row>
    <row r="9" customFormat="false" ht="15" hidden="false" customHeight="false" outlineLevel="0" collapsed="false">
      <c r="A9" s="14" t="s">
        <v>281</v>
      </c>
    </row>
    <row r="10" customFormat="false" ht="15" hidden="false" customHeight="false" outlineLevel="0" collapsed="false">
      <c r="A10" s="14" t="s">
        <v>282</v>
      </c>
    </row>
    <row r="11" customFormat="false" ht="15" hidden="false" customHeight="false" outlineLevel="0" collapsed="false">
      <c r="A11" s="14"/>
    </row>
    <row r="12" customFormat="false" ht="15" hidden="false" customHeight="false" outlineLevel="0" collapsed="false">
      <c r="A12" s="13" t="s">
        <v>283</v>
      </c>
    </row>
    <row r="13" customFormat="false" ht="15" hidden="false" customHeight="false" outlineLevel="0" collapsed="false">
      <c r="A13" s="14" t="s">
        <v>284</v>
      </c>
    </row>
    <row r="14" customFormat="false" ht="15" hidden="false" customHeight="false" outlineLevel="0" collapsed="false">
      <c r="A14" s="14" t="s">
        <v>285</v>
      </c>
    </row>
    <row r="15" customFormat="false" ht="15" hidden="false" customHeight="false" outlineLevel="0" collapsed="false">
      <c r="A15" s="14" t="s">
        <v>286</v>
      </c>
    </row>
    <row r="16" customFormat="false" ht="15" hidden="false" customHeight="false" outlineLevel="0" collapsed="false">
      <c r="A16" s="14" t="s">
        <v>287</v>
      </c>
    </row>
    <row r="17" customFormat="false" ht="15" hidden="false" customHeight="false" outlineLevel="0" collapsed="false">
      <c r="A17" s="14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2026-10-16T06:24:56Z</dcterms:created>
  <dc:creator>openpyxl</dc:creator>
  <dc:description/>
  <dc:language>en-US</dc:language>
  <cp:lastModifiedBy/>
  <dcterms:modified xsi:type="dcterms:W3CDTF">2026-10-16T06:24:56Z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